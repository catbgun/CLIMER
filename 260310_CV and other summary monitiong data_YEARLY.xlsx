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va365-my.sharepoint.com/personal/cathrine_brecke_gundersen_niva_no/Documents/Manuscripts/CLIMER/CLIMER/"/>
    </mc:Choice>
  </mc:AlternateContent>
  <xr:revisionPtr revIDLastSave="0" documentId="8_{0DB89EB4-2D6F-4383-A13E-0B238B75F0DD}" xr6:coauthVersionLast="47" xr6:coauthVersionMax="47" xr10:uidLastSave="{00000000-0000-0000-0000-000000000000}"/>
  <bookViews>
    <workbookView xWindow="-135" yWindow="0" windowWidth="14670" windowHeight="17385" xr2:uid="{2C970778-68F8-41EC-B793-5197AB9230D7}"/>
  </bookViews>
  <sheets>
    <sheet name="Sheet1" sheetId="1" r:id="rId1"/>
  </sheets>
  <definedNames>
    <definedName name="Year_variability" localSheetId="0">Sheet1!$A$1:$Q$15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" i="1" l="1"/>
  <c r="P8" i="1"/>
  <c r="M16" i="1"/>
  <c r="M8" i="1"/>
  <c r="J16" i="1"/>
  <c r="J8" i="1"/>
  <c r="G16" i="1"/>
  <c r="G8" i="1"/>
  <c r="O16" i="1"/>
  <c r="O15" i="1"/>
  <c r="O14" i="1"/>
  <c r="O13" i="1"/>
  <c r="O12" i="1"/>
  <c r="O11" i="1"/>
  <c r="O10" i="1"/>
  <c r="O8" i="1"/>
  <c r="O7" i="1"/>
  <c r="O6" i="1"/>
  <c r="O5" i="1"/>
  <c r="O4" i="1"/>
  <c r="O3" i="1"/>
  <c r="O2" i="1"/>
  <c r="L15" i="1"/>
  <c r="L14" i="1"/>
  <c r="L13" i="1"/>
  <c r="L12" i="1"/>
  <c r="L11" i="1"/>
  <c r="L10" i="1"/>
  <c r="L16" i="1" s="1"/>
  <c r="L8" i="1"/>
  <c r="L7" i="1"/>
  <c r="L6" i="1"/>
  <c r="L5" i="1"/>
  <c r="L4" i="1"/>
  <c r="L3" i="1"/>
  <c r="L2" i="1"/>
  <c r="I7" i="1"/>
  <c r="I15" i="1"/>
  <c r="I14" i="1"/>
  <c r="I13" i="1"/>
  <c r="I12" i="1"/>
  <c r="I11" i="1"/>
  <c r="I10" i="1"/>
  <c r="I16" i="1" s="1"/>
  <c r="I6" i="1"/>
  <c r="I8" i="1" s="1"/>
  <c r="I5" i="1"/>
  <c r="I4" i="1"/>
  <c r="I3" i="1"/>
  <c r="I2" i="1"/>
  <c r="F15" i="1"/>
  <c r="F14" i="1"/>
  <c r="F13" i="1"/>
  <c r="F12" i="1"/>
  <c r="F11" i="1"/>
  <c r="F10" i="1"/>
  <c r="F3" i="1"/>
  <c r="F4" i="1"/>
  <c r="F5" i="1"/>
  <c r="F6" i="1"/>
  <c r="F7" i="1"/>
  <c r="F2" i="1"/>
  <c r="F8" i="1" l="1"/>
  <c r="F1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072538-2997-470D-880D-89DCB8391C02}" name="Year_variability" type="6" refreshedVersion="8" background="1" saveData="1">
    <textPr codePage="437" sourceFile="C:\Users\CBG\OneDrive - NIVA\Manuscripts\CLIMER\CLIMER\Year_variability.csv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<sst xmlns="http://schemas.openxmlformats.org/spreadsheetml/2006/main" count="32" uniqueCount="15">
  <si>
    <t>Station</t>
  </si>
  <si>
    <t>Year</t>
  </si>
  <si>
    <t>TOC_m_mean</t>
  </si>
  <si>
    <t>TOC_m_sd</t>
  </si>
  <si>
    <t>THg_m_mean</t>
  </si>
  <si>
    <t>THg_m_sd</t>
  </si>
  <si>
    <t>sUVa_m_mean</t>
  </si>
  <si>
    <t>sUVa_m_sd</t>
  </si>
  <si>
    <t>THGTOC_m2_mean</t>
  </si>
  <si>
    <t>THGTOC_m2_sd</t>
  </si>
  <si>
    <t>month_mean</t>
  </si>
  <si>
    <t>month_sd</t>
  </si>
  <si>
    <t>Inlet</t>
  </si>
  <si>
    <t>Outlet</t>
  </si>
  <si>
    <t>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</si>
</sst>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ear_variability" connectionId="1" xr16:uid="{4758710C-9E40-4CDD-9BDE-0987BB87562A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1169D-8C16-4757-ACA4-75C4B445AC54}">
  <dimension ref="A1:Q16"/>
  <sheetViews>
    <sheetView tabSelected="1" topLeftCell="E1" workbookViewId="0">
      <selection activeCell="N35" sqref="N35"/>
    </sheetView>
  </sheetViews>
  <sheetFormatPr defaultRowHeight="15" x14ac:dyDescent="0.25"/>
  <cols>
    <col min="1" max="1" width="3" bestFit="1" customWidth="1"/>
    <col min="2" max="2" width="7.140625" bestFit="1" customWidth="1"/>
    <col min="3" max="3" width="5" bestFit="1" customWidth="1"/>
    <col min="4" max="4" width="13.140625" bestFit="1" customWidth="1"/>
    <col min="5" max="5" width="12" bestFit="1" customWidth="1"/>
    <col min="6" max="6" width="12" customWidth="1"/>
    <col min="7" max="7" width="14.7109375" bestFit="1" customWidth="1"/>
    <col min="8" max="8" width="12" bestFit="1" customWidth="1"/>
    <col min="9" max="9" width="12" customWidth="1"/>
    <col min="10" max="10" width="14.140625" bestFit="1" customWidth="1"/>
    <col min="11" max="11" width="12" bestFit="1" customWidth="1"/>
    <col min="12" max="12" width="12" customWidth="1"/>
    <col min="13" max="13" width="17.85546875" bestFit="1" customWidth="1"/>
    <col min="14" max="14" width="14.85546875" bestFit="1" customWidth="1"/>
    <col min="15" max="15" width="14.85546875" customWidth="1"/>
    <col min="16" max="16" width="12.5703125" bestFit="1" customWidth="1"/>
    <col min="17" max="17" width="12" bestFit="1" customWidth="1"/>
  </cols>
  <sheetData>
    <row r="1" spans="1:17" x14ac:dyDescent="0.25">
      <c r="B1" t="s">
        <v>0</v>
      </c>
      <c r="C1" t="s">
        <v>1</v>
      </c>
      <c r="D1" t="s">
        <v>2</v>
      </c>
      <c r="E1" t="s">
        <v>3</v>
      </c>
      <c r="F1" t="s">
        <v>14</v>
      </c>
      <c r="G1" t="s">
        <v>4</v>
      </c>
      <c r="H1" t="s">
        <v>5</v>
      </c>
      <c r="I1" t="s">
        <v>14</v>
      </c>
      <c r="J1" t="s">
        <v>6</v>
      </c>
      <c r="K1" t="s">
        <v>7</v>
      </c>
      <c r="L1" t="s">
        <v>14</v>
      </c>
      <c r="M1" t="s">
        <v>8</v>
      </c>
      <c r="N1" t="s">
        <v>9</v>
      </c>
      <c r="O1" t="s">
        <v>14</v>
      </c>
      <c r="P1" t="s">
        <v>10</v>
      </c>
      <c r="Q1" t="s">
        <v>11</v>
      </c>
    </row>
    <row r="2" spans="1:17" x14ac:dyDescent="0.25">
      <c r="A2">
        <v>1</v>
      </c>
      <c r="B2" t="s">
        <v>12</v>
      </c>
      <c r="C2">
        <v>2016</v>
      </c>
      <c r="D2" s="2">
        <v>13.569230769230799</v>
      </c>
      <c r="E2" s="2">
        <v>3.1823431135419198</v>
      </c>
      <c r="F2" s="2">
        <f>E2/D2*100</f>
        <v>23.452641993222713</v>
      </c>
      <c r="G2">
        <v>3.2672090833333298</v>
      </c>
      <c r="H2">
        <v>0.85420302393224601</v>
      </c>
      <c r="I2" s="2">
        <f>H2/G2*100</f>
        <v>26.14473093533261</v>
      </c>
      <c r="J2">
        <v>4.6103056500303197</v>
      </c>
      <c r="K2">
        <v>0.28538125229996097</v>
      </c>
      <c r="L2" s="2">
        <f>K2/J2*100</f>
        <v>6.1900722850790633</v>
      </c>
      <c r="M2">
        <v>0.256281795512253</v>
      </c>
      <c r="N2">
        <v>9.1497848956947805E-2</v>
      </c>
      <c r="O2" s="2">
        <f>N2/M2*100</f>
        <v>35.702047729946244</v>
      </c>
      <c r="P2">
        <v>7.06666666666667</v>
      </c>
      <c r="Q2">
        <v>3.4114652626247302</v>
      </c>
    </row>
    <row r="3" spans="1:17" x14ac:dyDescent="0.25">
      <c r="A3">
        <v>2</v>
      </c>
      <c r="B3" t="s">
        <v>12</v>
      </c>
      <c r="C3">
        <v>2017</v>
      </c>
      <c r="D3" s="2">
        <v>12.9142857142857</v>
      </c>
      <c r="E3" s="2">
        <v>3.05887288011504</v>
      </c>
      <c r="F3" s="2">
        <f t="shared" ref="F3:F7" si="0">E3/D3*100</f>
        <v>23.685962567262504</v>
      </c>
      <c r="G3">
        <v>3.0416666666666701</v>
      </c>
      <c r="H3">
        <v>0.73664884113905704</v>
      </c>
      <c r="I3" s="2">
        <f t="shared" ref="I3:I6" si="1">H3/G3*100</f>
        <v>24.218592037448424</v>
      </c>
      <c r="J3">
        <v>4.5840933557102899</v>
      </c>
      <c r="K3">
        <v>0.22677110806324299</v>
      </c>
      <c r="L3" s="2">
        <f t="shared" ref="L3:L6" si="2">K3/J3*100</f>
        <v>4.9469129545706112</v>
      </c>
      <c r="M3">
        <v>0.23401999610797899</v>
      </c>
      <c r="N3">
        <v>3.2474803926611298E-2</v>
      </c>
      <c r="O3" s="2">
        <f t="shared" ref="O3:O6" si="3">N3/M3*100</f>
        <v>13.876935504104154</v>
      </c>
      <c r="P3">
        <v>5.7222222222222197</v>
      </c>
      <c r="Q3">
        <v>3.5281315761037999</v>
      </c>
    </row>
    <row r="4" spans="1:17" x14ac:dyDescent="0.25">
      <c r="A4">
        <v>3</v>
      </c>
      <c r="B4" t="s">
        <v>12</v>
      </c>
      <c r="C4">
        <v>2018</v>
      </c>
      <c r="D4" s="2">
        <v>12.845454545454499</v>
      </c>
      <c r="E4" s="2">
        <v>3.7792495647584898</v>
      </c>
      <c r="F4" s="2">
        <f t="shared" si="0"/>
        <v>29.420909562875824</v>
      </c>
      <c r="G4">
        <v>2.5727272727272701</v>
      </c>
      <c r="H4">
        <v>0.38233730942953797</v>
      </c>
      <c r="I4" s="2">
        <f t="shared" si="1"/>
        <v>14.861167504328346</v>
      </c>
      <c r="J4">
        <v>4.4091430517956196</v>
      </c>
      <c r="K4">
        <v>0.398096611138266</v>
      </c>
      <c r="L4" s="2">
        <f t="shared" si="2"/>
        <v>9.028888526901877</v>
      </c>
      <c r="M4">
        <v>0.214314856247909</v>
      </c>
      <c r="N4">
        <v>7.0885755840815703E-2</v>
      </c>
      <c r="O4" s="2">
        <f t="shared" si="3"/>
        <v>33.075521259626775</v>
      </c>
      <c r="P4">
        <v>6.8571428571428603</v>
      </c>
      <c r="Q4">
        <v>3.61316274957897</v>
      </c>
    </row>
    <row r="5" spans="1:17" x14ac:dyDescent="0.25">
      <c r="A5">
        <v>4</v>
      </c>
      <c r="B5" t="s">
        <v>12</v>
      </c>
      <c r="C5">
        <v>2019</v>
      </c>
      <c r="D5" s="2">
        <v>14.866666666666699</v>
      </c>
      <c r="E5" s="2">
        <v>3.8729218697933701</v>
      </c>
      <c r="F5" s="2">
        <f t="shared" si="0"/>
        <v>26.051043967219922</v>
      </c>
      <c r="G5">
        <v>3.2583333333333302</v>
      </c>
      <c r="H5">
        <v>0.66668560579158798</v>
      </c>
      <c r="I5" s="2">
        <f t="shared" si="1"/>
        <v>20.460939308181747</v>
      </c>
      <c r="J5">
        <v>4.3013068232017497</v>
      </c>
      <c r="K5">
        <v>0.26616286887551199</v>
      </c>
      <c r="L5" s="2">
        <f t="shared" si="2"/>
        <v>6.1879535642469978</v>
      </c>
      <c r="M5">
        <v>0.236083455082891</v>
      </c>
      <c r="N5">
        <v>6.1952358217015301E-2</v>
      </c>
      <c r="O5" s="2">
        <f t="shared" si="3"/>
        <v>26.241719562797517</v>
      </c>
      <c r="P5">
        <v>6.3529411764705896</v>
      </c>
      <c r="Q5">
        <v>2.97785947600345</v>
      </c>
    </row>
    <row r="6" spans="1:17" x14ac:dyDescent="0.25">
      <c r="A6">
        <v>5</v>
      </c>
      <c r="B6" t="s">
        <v>12</v>
      </c>
      <c r="C6">
        <v>2020</v>
      </c>
      <c r="D6" s="2">
        <v>13.225</v>
      </c>
      <c r="E6" s="2">
        <v>3.8687853390954601</v>
      </c>
      <c r="F6" s="2">
        <f t="shared" si="0"/>
        <v>29.253575342876825</v>
      </c>
      <c r="G6">
        <v>3.1166666666666698</v>
      </c>
      <c r="H6">
        <v>0.77859235843030306</v>
      </c>
      <c r="I6" s="2">
        <f t="shared" si="1"/>
        <v>24.98157299776371</v>
      </c>
      <c r="J6">
        <v>4.3516940282142</v>
      </c>
      <c r="K6">
        <v>0.280074965738487</v>
      </c>
      <c r="L6" s="2">
        <f t="shared" si="2"/>
        <v>6.4359985771660755</v>
      </c>
      <c r="M6">
        <v>0.245277249155335</v>
      </c>
      <c r="N6">
        <v>6.2864571653478404E-2</v>
      </c>
      <c r="O6" s="2">
        <f t="shared" si="3"/>
        <v>25.630005175761749</v>
      </c>
      <c r="P6">
        <v>6.5</v>
      </c>
      <c r="Q6">
        <v>3.60555127546399</v>
      </c>
    </row>
    <row r="7" spans="1:17" x14ac:dyDescent="0.25">
      <c r="A7">
        <v>6</v>
      </c>
      <c r="B7" t="s">
        <v>12</v>
      </c>
      <c r="C7">
        <v>2021</v>
      </c>
      <c r="D7" s="2">
        <v>11.588888888888899</v>
      </c>
      <c r="E7" s="2">
        <v>2.4245847296209502</v>
      </c>
      <c r="F7" s="2">
        <f t="shared" si="0"/>
        <v>20.92163237448565</v>
      </c>
      <c r="G7">
        <v>2.9822222222222199</v>
      </c>
      <c r="H7">
        <v>0.57453846211062698</v>
      </c>
      <c r="I7" s="2">
        <f>H7/G7*100</f>
        <v>19.265447686272903</v>
      </c>
      <c r="J7">
        <v>4.6203392419977396</v>
      </c>
      <c r="K7">
        <v>0.21035653013346101</v>
      </c>
      <c r="L7" s="2">
        <f>K7/J7*100</f>
        <v>4.5528373376000673</v>
      </c>
      <c r="M7">
        <v>0.261255456181057</v>
      </c>
      <c r="N7">
        <v>4.5642686008619503E-2</v>
      </c>
      <c r="O7" s="2">
        <f>N7/M7*100</f>
        <v>17.470519726481008</v>
      </c>
      <c r="P7">
        <v>6.2222222222222197</v>
      </c>
      <c r="Q7">
        <v>3.8005847503304602</v>
      </c>
    </row>
    <row r="8" spans="1:17" x14ac:dyDescent="0.25">
      <c r="E8" s="2"/>
      <c r="F8" s="2">
        <f>AVERAGE(F2:F7)</f>
        <v>25.464294301323907</v>
      </c>
      <c r="G8" s="2">
        <f>STDEV(F2:F7)</f>
        <v>3.4118240416777432</v>
      </c>
      <c r="H8" s="2"/>
      <c r="I8" s="2">
        <f>AVERAGE(I2:I7)</f>
        <v>21.655408411554621</v>
      </c>
      <c r="J8" s="2">
        <f>STDEV(I2:I7)</f>
        <v>4.2682004660004171</v>
      </c>
      <c r="L8" s="2">
        <f>AVERAGE(L2:L7)</f>
        <v>6.2237772075941153</v>
      </c>
      <c r="M8" s="2">
        <f>STDEV(L2:L7)</f>
        <v>1.5708933221846009</v>
      </c>
      <c r="O8" s="2">
        <f>AVERAGE(O2:O7)</f>
        <v>25.332791493119572</v>
      </c>
      <c r="P8" s="2">
        <f>STDEV(O2:O7)</f>
        <v>8.5022088791638861</v>
      </c>
    </row>
    <row r="9" spans="1:17" x14ac:dyDescent="0.25">
      <c r="F9" t="s">
        <v>14</v>
      </c>
      <c r="I9" t="s">
        <v>14</v>
      </c>
      <c r="L9" t="s">
        <v>14</v>
      </c>
      <c r="O9" t="s">
        <v>14</v>
      </c>
    </row>
    <row r="10" spans="1:17" x14ac:dyDescent="0.25">
      <c r="A10">
        <v>7</v>
      </c>
      <c r="B10" t="s">
        <v>13</v>
      </c>
      <c r="C10">
        <v>2016</v>
      </c>
      <c r="D10" s="2">
        <v>11.218867924528301</v>
      </c>
      <c r="E10" s="1">
        <v>1.6010881640758201</v>
      </c>
      <c r="F10" s="2">
        <f>E10/D10*100</f>
        <v>14.271387940803645</v>
      </c>
      <c r="G10">
        <v>3.5403029166666702</v>
      </c>
      <c r="H10">
        <v>0.350657781398035</v>
      </c>
      <c r="I10" s="2">
        <f>H10/G10*100</f>
        <v>9.9047394997542373</v>
      </c>
      <c r="J10">
        <v>4.5302786025395596</v>
      </c>
      <c r="K10">
        <v>0.247027231553444</v>
      </c>
      <c r="L10" s="2">
        <f>K10/J10*100</f>
        <v>5.4528044128448698</v>
      </c>
      <c r="M10">
        <v>0.32028749384715899</v>
      </c>
      <c r="N10">
        <v>5.7923182896176997E-2</v>
      </c>
      <c r="O10" s="2">
        <f>N10/M10*100</f>
        <v>18.084746987910151</v>
      </c>
      <c r="P10">
        <v>6.6</v>
      </c>
      <c r="Q10">
        <v>3.4458778379498698</v>
      </c>
    </row>
    <row r="11" spans="1:17" x14ac:dyDescent="0.25">
      <c r="A11">
        <v>8</v>
      </c>
      <c r="B11" t="s">
        <v>13</v>
      </c>
      <c r="C11">
        <v>2017</v>
      </c>
      <c r="D11" s="2">
        <v>12.727777777777799</v>
      </c>
      <c r="E11" s="1">
        <v>1.6270608605781001</v>
      </c>
      <c r="F11" s="2">
        <f t="shared" ref="F11:F15" si="4">E11/D11*100</f>
        <v>12.783542335401899</v>
      </c>
      <c r="G11">
        <v>3.7578293333333299</v>
      </c>
      <c r="H11">
        <v>0.70271891620804305</v>
      </c>
      <c r="I11" s="2">
        <f t="shared" ref="I11:I15" si="5">H11/G11*100</f>
        <v>18.700128554925779</v>
      </c>
      <c r="J11">
        <v>4.5711430947839</v>
      </c>
      <c r="K11">
        <v>0.25752337586537699</v>
      </c>
      <c r="L11" s="2">
        <f t="shared" ref="L11:L15" si="6">K11/J11*100</f>
        <v>5.6336756589229324</v>
      </c>
      <c r="M11">
        <v>0.29509441103550099</v>
      </c>
      <c r="N11">
        <v>4.8565283654955299E-2</v>
      </c>
      <c r="O11" s="2">
        <f t="shared" ref="O11:O15" si="7">N11/M11*100</f>
        <v>16.4575409898606</v>
      </c>
      <c r="P11">
        <v>6.46428571428571</v>
      </c>
      <c r="Q11">
        <v>3.5366357188424402</v>
      </c>
    </row>
    <row r="12" spans="1:17" x14ac:dyDescent="0.25">
      <c r="A12">
        <v>9</v>
      </c>
      <c r="B12" t="s">
        <v>13</v>
      </c>
      <c r="C12">
        <v>2018</v>
      </c>
      <c r="D12" s="2">
        <v>11.492000000000001</v>
      </c>
      <c r="E12" s="1">
        <v>2.6171990012692801</v>
      </c>
      <c r="F12" s="2">
        <f t="shared" si="4"/>
        <v>22.774095033669333</v>
      </c>
      <c r="G12">
        <v>3.1491921818181798</v>
      </c>
      <c r="H12">
        <v>0.38168373678971901</v>
      </c>
      <c r="I12" s="2">
        <f t="shared" si="5"/>
        <v>12.120052215084398</v>
      </c>
      <c r="J12">
        <v>4.2846234266031598</v>
      </c>
      <c r="K12">
        <v>0.34377963292025099</v>
      </c>
      <c r="L12" s="2">
        <f t="shared" si="6"/>
        <v>8.0235670370872878</v>
      </c>
      <c r="M12">
        <v>0.28548685236805899</v>
      </c>
      <c r="N12">
        <v>5.4582067257984E-2</v>
      </c>
      <c r="O12" s="2">
        <f t="shared" si="7"/>
        <v>19.118942538066523</v>
      </c>
      <c r="P12">
        <v>6.7735849056603801</v>
      </c>
      <c r="Q12">
        <v>3.5606908871192302</v>
      </c>
    </row>
    <row r="13" spans="1:17" x14ac:dyDescent="0.25">
      <c r="A13">
        <v>10</v>
      </c>
      <c r="B13" t="s">
        <v>13</v>
      </c>
      <c r="C13">
        <v>2019</v>
      </c>
      <c r="D13" s="2">
        <v>12.361538461538499</v>
      </c>
      <c r="E13" s="1">
        <v>1.9982496111085899</v>
      </c>
      <c r="F13" s="2">
        <f t="shared" si="4"/>
        <v>16.165055970386803</v>
      </c>
      <c r="G13">
        <v>3.4441666666666699</v>
      </c>
      <c r="H13">
        <v>0.51348113771381998</v>
      </c>
      <c r="I13" s="2">
        <f t="shared" si="5"/>
        <v>14.908719217434877</v>
      </c>
      <c r="J13">
        <v>4.3314630932127596</v>
      </c>
      <c r="K13">
        <v>0.25055326859077598</v>
      </c>
      <c r="L13" s="2">
        <f t="shared" si="6"/>
        <v>5.7844950585723236</v>
      </c>
      <c r="M13">
        <v>0.28490255373859302</v>
      </c>
      <c r="N13">
        <v>6.0841625994026899E-2</v>
      </c>
      <c r="O13" s="2">
        <f t="shared" si="7"/>
        <v>21.35524065882926</v>
      </c>
      <c r="P13">
        <v>6.5555555555555598</v>
      </c>
      <c r="Q13">
        <v>3.41288715637338</v>
      </c>
    </row>
    <row r="14" spans="1:17" x14ac:dyDescent="0.25">
      <c r="A14">
        <v>11</v>
      </c>
      <c r="B14" t="s">
        <v>13</v>
      </c>
      <c r="C14">
        <v>2020</v>
      </c>
      <c r="D14" s="2">
        <v>11.5884615384615</v>
      </c>
      <c r="E14" s="1">
        <v>1.3809138557213001</v>
      </c>
      <c r="F14" s="2">
        <f t="shared" si="4"/>
        <v>11.916282857203425</v>
      </c>
      <c r="G14">
        <v>3.2908333333333299</v>
      </c>
      <c r="H14">
        <v>0.64813660643884397</v>
      </c>
      <c r="I14" s="2">
        <f t="shared" si="5"/>
        <v>19.695212148053017</v>
      </c>
      <c r="J14">
        <v>4.3747863640774796</v>
      </c>
      <c r="K14">
        <v>0.30540884289773601</v>
      </c>
      <c r="L14" s="2">
        <f t="shared" si="6"/>
        <v>6.9811144472225726</v>
      </c>
      <c r="M14">
        <v>0.28780434882678901</v>
      </c>
      <c r="N14">
        <v>5.65128171063407E-2</v>
      </c>
      <c r="O14" s="2">
        <f t="shared" si="7"/>
        <v>19.635845440387055</v>
      </c>
      <c r="P14">
        <v>6.5192307692307701</v>
      </c>
      <c r="Q14">
        <v>3.4555461792141799</v>
      </c>
    </row>
    <row r="15" spans="1:17" x14ac:dyDescent="0.25">
      <c r="A15">
        <v>12</v>
      </c>
      <c r="B15" t="s">
        <v>13</v>
      </c>
      <c r="C15">
        <v>2021</v>
      </c>
      <c r="D15" s="2">
        <v>9.9730769230769205</v>
      </c>
      <c r="E15" s="1">
        <v>1.9779287428049299</v>
      </c>
      <c r="F15" s="2">
        <f t="shared" si="4"/>
        <v>19.832683113354491</v>
      </c>
      <c r="G15">
        <v>3.4125000000000001</v>
      </c>
      <c r="H15">
        <v>0.69652546778472302</v>
      </c>
      <c r="I15" s="2">
        <f t="shared" si="5"/>
        <v>20.411002718966241</v>
      </c>
      <c r="J15">
        <v>4.4005516548428298</v>
      </c>
      <c r="K15">
        <v>0.35741810826389397</v>
      </c>
      <c r="L15" s="2">
        <f t="shared" si="6"/>
        <v>8.1221205043816145</v>
      </c>
      <c r="M15">
        <v>0.34117793955888198</v>
      </c>
      <c r="N15">
        <v>4.4960048978465297E-2</v>
      </c>
      <c r="O15" s="2">
        <f t="shared" si="7"/>
        <v>13.177888651474753</v>
      </c>
      <c r="P15">
        <v>6.5</v>
      </c>
      <c r="Q15">
        <v>3.4328288226315902</v>
      </c>
    </row>
    <row r="16" spans="1:17" x14ac:dyDescent="0.25">
      <c r="F16" s="2">
        <f>AVERAGE(F10:F15)</f>
        <v>16.290507875136601</v>
      </c>
      <c r="G16" s="2">
        <f>STDEV(F10:F15)</f>
        <v>4.2452124364879475</v>
      </c>
      <c r="H16" s="2"/>
      <c r="I16" s="2">
        <f>AVERAGE(I10:I15)</f>
        <v>15.956642392369758</v>
      </c>
      <c r="J16" s="2">
        <f>STDEV(I10:I15)</f>
        <v>4.331005468758006</v>
      </c>
      <c r="L16" s="2">
        <f>AVERAGE(L10:L15)</f>
        <v>6.6662961865052672</v>
      </c>
      <c r="M16" s="2">
        <f>STDEV(L10:L15)</f>
        <v>1.2146736032029806</v>
      </c>
      <c r="O16" s="2">
        <f>AVERAGE(O10:O15)</f>
        <v>17.971700877754724</v>
      </c>
      <c r="P16" s="2">
        <f>STDEV(O10:O15)</f>
        <v>2.8572706295542929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Sheet1!Year_variability</vt:lpstr>
    </vt:vector>
  </TitlesOfParts>
  <Company>NIVA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Cathrine Brecke Gundersen</dc:creator>
  <cp:lastModifiedBy>Cathrine Brecke Gundersen</cp:lastModifiedBy>
  <dcterms:created xsi:type="dcterms:W3CDTF">2026-03-10T12:47:14Z</dcterms:created>
  <dcterms:modified xsi:type="dcterms:W3CDTF">2026-03-10T20:14:35Z</dcterms:modified>
</cp:coreProperties>
</file>